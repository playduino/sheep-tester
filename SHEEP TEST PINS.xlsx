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liver/Desktop/SHEEP TESTER/"/>
    </mc:Choice>
  </mc:AlternateContent>
  <xr:revisionPtr revIDLastSave="0" documentId="13_ncr:1_{0D2478A0-9DFE-9747-B33C-85BA828A4E35}" xr6:coauthVersionLast="47" xr6:coauthVersionMax="47" xr10:uidLastSave="{00000000-0000-0000-0000-000000000000}"/>
  <bookViews>
    <workbookView xWindow="60" yWindow="680" windowWidth="34500" windowHeight="19900" xr2:uid="{251F4D23-F6BB-8045-A7D4-E73691D00F1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" l="1"/>
  <c r="H47" i="1"/>
  <c r="I47" i="1"/>
  <c r="F47" i="1"/>
</calcChain>
</file>

<file path=xl/sharedStrings.xml><?xml version="1.0" encoding="utf-8"?>
<sst xmlns="http://schemas.openxmlformats.org/spreadsheetml/2006/main" count="133" uniqueCount="113">
  <si>
    <t>TP1</t>
  </si>
  <si>
    <t>GND</t>
  </si>
  <si>
    <t>TP2</t>
  </si>
  <si>
    <t>TP3</t>
  </si>
  <si>
    <t>TP4</t>
  </si>
  <si>
    <t>TP5</t>
  </si>
  <si>
    <t>TP6</t>
  </si>
  <si>
    <t>TP7</t>
  </si>
  <si>
    <t>TP8</t>
  </si>
  <si>
    <t>TP9</t>
  </si>
  <si>
    <t>TP10</t>
  </si>
  <si>
    <t>TP11</t>
  </si>
  <si>
    <t>TP12</t>
  </si>
  <si>
    <t>TP13</t>
  </si>
  <si>
    <t>TP14</t>
  </si>
  <si>
    <t>TP15</t>
  </si>
  <si>
    <t>TP16</t>
  </si>
  <si>
    <t>TP17</t>
  </si>
  <si>
    <t>TP18</t>
  </si>
  <si>
    <t>TP19</t>
  </si>
  <si>
    <t>TP20</t>
  </si>
  <si>
    <t>TP21</t>
  </si>
  <si>
    <t>TP22</t>
  </si>
  <si>
    <t>TP23</t>
  </si>
  <si>
    <t>TP24</t>
  </si>
  <si>
    <t>3.3VLAN</t>
  </si>
  <si>
    <t>12V</t>
  </si>
  <si>
    <t>3.3V</t>
  </si>
  <si>
    <t>DCIN @ klemme</t>
  </si>
  <si>
    <t>VIN @ buck eingang</t>
  </si>
  <si>
    <t>PG / EN buck</t>
  </si>
  <si>
    <t>REV detection</t>
  </si>
  <si>
    <t>5V</t>
  </si>
  <si>
    <t>ESP_EN</t>
  </si>
  <si>
    <t>GPIO3 / RXD</t>
  </si>
  <si>
    <t>GPIO1 / TXD</t>
  </si>
  <si>
    <t>GPIO0 / BOOT</t>
  </si>
  <si>
    <t>SMOKE signal</t>
  </si>
  <si>
    <t>SMOKE signal divided</t>
  </si>
  <si>
    <t>beeper, cathode</t>
  </si>
  <si>
    <t>IR diodes, cathode</t>
  </si>
  <si>
    <t>WS2812B, dataout</t>
  </si>
  <si>
    <t>GPIO5 / I2C / SDA</t>
  </si>
  <si>
    <t>GPIO15 / I2C2 / SDA</t>
  </si>
  <si>
    <t>GPIO13 / I2C2 / SCL</t>
  </si>
  <si>
    <t>GPIO33 / I2C / SCL</t>
  </si>
  <si>
    <t>GPI39 / NTC AIN</t>
  </si>
  <si>
    <t>Testpoint</t>
  </si>
  <si>
    <t>Signal</t>
  </si>
  <si>
    <t>Tests</t>
  </si>
  <si>
    <t>detect if adapter is closed</t>
  </si>
  <si>
    <t>digital input with pullup</t>
  </si>
  <si>
    <t>should be 3.3V if GPIO12 = HIGH</t>
  </si>
  <si>
    <t>Hardware requirement</t>
  </si>
  <si>
    <t>analog measurement ~ 3.3V</t>
  </si>
  <si>
    <t>analog measurement ~ 12V, switchable load</t>
  </si>
  <si>
    <t>DI</t>
  </si>
  <si>
    <t>DO</t>
  </si>
  <si>
    <t>AI</t>
  </si>
  <si>
    <t>should be 3.3V even under load</t>
  </si>
  <si>
    <t>should be 12V even under load</t>
  </si>
  <si>
    <t>analog measurement ~ 3.3V, switchable load</t>
  </si>
  <si>
    <t>should be 5V even under load</t>
  </si>
  <si>
    <t>analog measurement ~ 5V, switchable load</t>
  </si>
  <si>
    <t>should be 0V when PoE, should be one way to power</t>
  </si>
  <si>
    <t>CM</t>
  </si>
  <si>
    <t>should be 50V when PoE, 60V when DCIN</t>
  </si>
  <si>
    <t>analog measurement</t>
  </si>
  <si>
    <t>should ~4,1V when PoE or DC_IN</t>
  </si>
  <si>
    <t>should be 10k when sheep version 1.4</t>
  </si>
  <si>
    <t>voltage divider + analog measurements</t>
  </si>
  <si>
    <t>I2C should work</t>
  </si>
  <si>
    <t>programming pin</t>
  </si>
  <si>
    <t>add relay between raspberry pins and DUT to protect Pi</t>
  </si>
  <si>
    <t>ntc emulation (only if no NTC present, but it will be present)</t>
  </si>
  <si>
    <t>switchable 12V (take the voltage from sheep itself)</t>
  </si>
  <si>
    <t>smoke alarm simulation</t>
  </si>
  <si>
    <t>smoke signal voltage divider test</t>
  </si>
  <si>
    <t>OC output to test the pullups, ESP signal feedback through serial connection</t>
  </si>
  <si>
    <t>beeper test</t>
  </si>
  <si>
    <t>connect to GND, measure current, measure voltage ~5V when ESP tests it</t>
  </si>
  <si>
    <t>Papir connection</t>
  </si>
  <si>
    <t>mmWave signals</t>
  </si>
  <si>
    <t>IR diode test, IR receiver test</t>
  </si>
  <si>
    <t>test LED data connection</t>
  </si>
  <si>
    <t>check if LED signal comes out</t>
  </si>
  <si>
    <t>*Rpi fast enough? Should we add a LED and measure the brightness/color?</t>
  </si>
  <si>
    <t>*Rpi fast enough? Can we use ESP32 to test itself?</t>
  </si>
  <si>
    <t>GPIO32</t>
  </si>
  <si>
    <t>PoE</t>
  </si>
  <si>
    <t>PoE injection test</t>
  </si>
  <si>
    <t>MD1 pin</t>
  </si>
  <si>
    <t>J9 pin</t>
  </si>
  <si>
    <t>GPIO16 / U1TXD</t>
  </si>
  <si>
    <t>GPI36 / U1RXD</t>
  </si>
  <si>
    <t>QR code</t>
  </si>
  <si>
    <t>read the QR code</t>
  </si>
  <si>
    <t>*</t>
  </si>
  <si>
    <t>TP-Link TL-SG1005LP, switchable LAN connection</t>
  </si>
  <si>
    <t>usb qr code scanner</t>
  </si>
  <si>
    <t>result output</t>
  </si>
  <si>
    <t>RPI pin</t>
  </si>
  <si>
    <t>GPIO14 (relay protected)</t>
  </si>
  <si>
    <t>GPIO15 (relay protected)</t>
  </si>
  <si>
    <t>GPIO5 (relay protected)</t>
  </si>
  <si>
    <t>GPIO6 (relay protected)</t>
  </si>
  <si>
    <t>analog measurement ~ 60V, switchable 60V supply, switchable 12V current protected supply</t>
  </si>
  <si>
    <t>analog measurement ~ 60V, switchable 60V supply</t>
  </si>
  <si>
    <t>current measurement</t>
  </si>
  <si>
    <t>ESP signal feedback through serial connection</t>
  </si>
  <si>
    <t>switchable analog voltage for NTC emulation</t>
  </si>
  <si>
    <t>OC output at pi pullup at pi, ESP signal feedback through serial connection</t>
  </si>
  <si>
    <t>7 segment + LEDs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</si>
</sst>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2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4E4B-8507-464D-BE22-772D7378D4BF}">
  <dimension ref="A1:J47"/>
  <sheetViews>
    <sheetView tabSelected="1" zoomScaleNormal="100" workbookViewId="0">
      <pane ySplit="1" topLeftCell="A8" activePane="bottomLeft" state="frozen"/>
      <selection pane="bottomLeft" activeCell="C47" sqref="C47"/>
    </sheetView>
  </sheetViews>
  <sheetFormatPr baseColWidth="10" defaultRowHeight="16" x14ac:dyDescent="0.2"/>
  <cols>
    <col min="2" max="2" width="21.5" customWidth="1"/>
    <col min="3" max="3" width="51.5" bestFit="1" customWidth="1"/>
    <col min="4" max="4" width="98.33203125" bestFit="1" customWidth="1"/>
    <col min="5" max="5" width="32.1640625" customWidth="1"/>
  </cols>
  <sheetData>
    <row r="1" spans="1:9" x14ac:dyDescent="0.2">
      <c r="A1" t="s">
        <v>47</v>
      </c>
      <c r="B1" t="s">
        <v>48</v>
      </c>
      <c r="C1" t="s">
        <v>49</v>
      </c>
      <c r="D1" t="s">
        <v>53</v>
      </c>
      <c r="E1" t="s">
        <v>101</v>
      </c>
      <c r="F1" t="s">
        <v>57</v>
      </c>
      <c r="G1" t="s">
        <v>56</v>
      </c>
      <c r="H1" t="s">
        <v>58</v>
      </c>
      <c r="I1" t="s">
        <v>65</v>
      </c>
    </row>
    <row r="2" spans="1:9" x14ac:dyDescent="0.2">
      <c r="A2" s="1" t="s">
        <v>0</v>
      </c>
      <c r="B2" s="1" t="s">
        <v>1</v>
      </c>
      <c r="C2" s="1" t="s">
        <v>1</v>
      </c>
      <c r="D2" s="1" t="s">
        <v>108</v>
      </c>
      <c r="E2" s="1"/>
      <c r="F2" s="1"/>
      <c r="G2" s="1"/>
      <c r="H2" s="1"/>
      <c r="I2" s="1">
        <v>1</v>
      </c>
    </row>
    <row r="3" spans="1:9" x14ac:dyDescent="0.2">
      <c r="A3" s="1" t="s">
        <v>2</v>
      </c>
      <c r="B3" s="1" t="s">
        <v>1</v>
      </c>
      <c r="C3" s="1" t="s">
        <v>50</v>
      </c>
      <c r="D3" s="1" t="s">
        <v>51</v>
      </c>
      <c r="E3" s="1"/>
      <c r="F3" s="1"/>
      <c r="G3" s="1">
        <v>1</v>
      </c>
      <c r="H3" s="1"/>
      <c r="I3" s="1"/>
    </row>
    <row r="4" spans="1:9" s="1" customFormat="1" x14ac:dyDescent="0.2">
      <c r="A4" s="1" t="s">
        <v>3</v>
      </c>
      <c r="B4" s="1" t="s">
        <v>25</v>
      </c>
      <c r="C4" s="1" t="s">
        <v>52</v>
      </c>
      <c r="D4" s="1" t="s">
        <v>54</v>
      </c>
      <c r="H4" s="1">
        <v>1</v>
      </c>
    </row>
    <row r="5" spans="1:9" s="1" customFormat="1" x14ac:dyDescent="0.2">
      <c r="A5" s="1" t="s">
        <v>4</v>
      </c>
      <c r="B5" s="1" t="s">
        <v>26</v>
      </c>
      <c r="C5" s="1" t="s">
        <v>60</v>
      </c>
      <c r="D5" s="1" t="s">
        <v>55</v>
      </c>
      <c r="F5" s="1">
        <v>1</v>
      </c>
      <c r="H5" s="1">
        <v>1</v>
      </c>
    </row>
    <row r="6" spans="1:9" s="1" customFormat="1" x14ac:dyDescent="0.2">
      <c r="A6" s="1" t="s">
        <v>5</v>
      </c>
      <c r="B6" s="1" t="s">
        <v>27</v>
      </c>
      <c r="C6" s="1" t="s">
        <v>59</v>
      </c>
      <c r="D6" s="1" t="s">
        <v>61</v>
      </c>
      <c r="F6" s="1">
        <v>1</v>
      </c>
      <c r="H6" s="1">
        <v>1</v>
      </c>
    </row>
    <row r="7" spans="1:9" s="1" customFormat="1" x14ac:dyDescent="0.2">
      <c r="A7" s="1" t="s">
        <v>6</v>
      </c>
      <c r="B7" s="1" t="s">
        <v>28</v>
      </c>
      <c r="C7" s="1" t="s">
        <v>64</v>
      </c>
      <c r="D7" s="1" t="s">
        <v>106</v>
      </c>
      <c r="F7" s="1">
        <v>3</v>
      </c>
      <c r="H7" s="1">
        <v>1</v>
      </c>
    </row>
    <row r="8" spans="1:9" s="1" customFormat="1" x14ac:dyDescent="0.2">
      <c r="A8" s="1" t="s">
        <v>7</v>
      </c>
      <c r="B8" s="1" t="s">
        <v>29</v>
      </c>
      <c r="C8" s="1" t="s">
        <v>66</v>
      </c>
      <c r="D8" s="1" t="s">
        <v>107</v>
      </c>
      <c r="F8" s="1">
        <v>1</v>
      </c>
      <c r="H8" s="1">
        <v>1</v>
      </c>
    </row>
    <row r="9" spans="1:9" s="1" customFormat="1" x14ac:dyDescent="0.2">
      <c r="A9" s="1" t="s">
        <v>8</v>
      </c>
      <c r="B9" s="1" t="s">
        <v>30</v>
      </c>
      <c r="C9" s="1" t="s">
        <v>68</v>
      </c>
      <c r="D9" s="1" t="s">
        <v>67</v>
      </c>
      <c r="H9" s="1">
        <v>1</v>
      </c>
    </row>
    <row r="10" spans="1:9" s="1" customFormat="1" x14ac:dyDescent="0.2">
      <c r="A10" s="1" t="s">
        <v>9</v>
      </c>
      <c r="B10" s="1" t="s">
        <v>31</v>
      </c>
      <c r="C10" s="1" t="s">
        <v>69</v>
      </c>
      <c r="D10" s="1" t="s">
        <v>70</v>
      </c>
      <c r="H10" s="1">
        <v>1</v>
      </c>
    </row>
    <row r="11" spans="1:9" s="1" customFormat="1" x14ac:dyDescent="0.2">
      <c r="A11" s="1" t="s">
        <v>10</v>
      </c>
      <c r="B11" s="1" t="s">
        <v>32</v>
      </c>
      <c r="C11" s="1" t="s">
        <v>62</v>
      </c>
      <c r="D11" s="1" t="s">
        <v>63</v>
      </c>
      <c r="F11" s="1">
        <v>1</v>
      </c>
      <c r="H11" s="1">
        <v>1</v>
      </c>
    </row>
    <row r="12" spans="1:9" s="1" customFormat="1" x14ac:dyDescent="0.2">
      <c r="A12" s="1" t="s">
        <v>11</v>
      </c>
      <c r="B12" s="1" t="s">
        <v>43</v>
      </c>
      <c r="C12" s="1" t="s">
        <v>71</v>
      </c>
      <c r="D12" s="1" t="s">
        <v>109</v>
      </c>
      <c r="F12" s="1">
        <v>1</v>
      </c>
    </row>
    <row r="13" spans="1:9" s="1" customFormat="1" x14ac:dyDescent="0.2">
      <c r="A13" s="1" t="s">
        <v>12</v>
      </c>
      <c r="B13" s="1" t="s">
        <v>44</v>
      </c>
      <c r="C13" s="1" t="s">
        <v>71</v>
      </c>
      <c r="D13" s="1" t="s">
        <v>109</v>
      </c>
      <c r="F13" s="1">
        <v>1</v>
      </c>
    </row>
    <row r="14" spans="1:9" s="1" customFormat="1" x14ac:dyDescent="0.2">
      <c r="A14" s="1" t="s">
        <v>13</v>
      </c>
      <c r="B14" s="1" t="s">
        <v>33</v>
      </c>
      <c r="C14" s="1" t="s">
        <v>72</v>
      </c>
      <c r="D14" s="1" t="s">
        <v>73</v>
      </c>
      <c r="E14" s="2" t="s">
        <v>105</v>
      </c>
    </row>
    <row r="15" spans="1:9" s="1" customFormat="1" x14ac:dyDescent="0.2">
      <c r="A15" s="1" t="s">
        <v>14</v>
      </c>
      <c r="B15" s="1" t="s">
        <v>34</v>
      </c>
      <c r="C15" s="1" t="s">
        <v>72</v>
      </c>
      <c r="D15" s="1" t="s">
        <v>73</v>
      </c>
      <c r="E15" s="1" t="s">
        <v>102</v>
      </c>
    </row>
    <row r="16" spans="1:9" s="1" customFormat="1" x14ac:dyDescent="0.2">
      <c r="A16" s="1" t="s">
        <v>15</v>
      </c>
      <c r="B16" s="1" t="s">
        <v>35</v>
      </c>
      <c r="C16" s="1" t="s">
        <v>72</v>
      </c>
      <c r="D16" s="1" t="s">
        <v>73</v>
      </c>
      <c r="E16" s="1" t="s">
        <v>103</v>
      </c>
      <c r="G16" s="1">
        <v>1</v>
      </c>
    </row>
    <row r="17" spans="1:10" s="1" customFormat="1" x14ac:dyDescent="0.2">
      <c r="A17" s="1" t="s">
        <v>16</v>
      </c>
      <c r="B17" s="1" t="s">
        <v>36</v>
      </c>
      <c r="C17" s="1" t="s">
        <v>72</v>
      </c>
      <c r="D17" s="1" t="s">
        <v>73</v>
      </c>
      <c r="E17" s="1" t="s">
        <v>104</v>
      </c>
    </row>
    <row r="18" spans="1:10" s="1" customFormat="1" x14ac:dyDescent="0.2">
      <c r="A18" s="1" t="s">
        <v>17</v>
      </c>
      <c r="B18" s="1" t="s">
        <v>46</v>
      </c>
      <c r="C18" s="1" t="s">
        <v>74</v>
      </c>
      <c r="D18" s="1" t="s">
        <v>110</v>
      </c>
      <c r="F18" s="1">
        <v>1</v>
      </c>
    </row>
    <row r="19" spans="1:10" s="1" customFormat="1" x14ac:dyDescent="0.2">
      <c r="A19" s="1" t="s">
        <v>18</v>
      </c>
      <c r="B19" s="1" t="s">
        <v>37</v>
      </c>
      <c r="C19" s="1" t="s">
        <v>76</v>
      </c>
      <c r="D19" s="1" t="s">
        <v>75</v>
      </c>
      <c r="F19" s="1">
        <v>1</v>
      </c>
    </row>
    <row r="20" spans="1:10" s="1" customFormat="1" x14ac:dyDescent="0.2">
      <c r="A20" s="1" t="s">
        <v>19</v>
      </c>
      <c r="B20" s="1" t="s">
        <v>38</v>
      </c>
      <c r="C20" s="1" t="s">
        <v>77</v>
      </c>
      <c r="D20" s="1" t="s">
        <v>54</v>
      </c>
      <c r="H20" s="1">
        <v>1</v>
      </c>
    </row>
    <row r="21" spans="1:10" s="1" customFormat="1" x14ac:dyDescent="0.2">
      <c r="A21" s="1" t="s">
        <v>20</v>
      </c>
      <c r="B21" s="1" t="s">
        <v>42</v>
      </c>
      <c r="C21" s="1" t="s">
        <v>71</v>
      </c>
      <c r="D21" s="1" t="s">
        <v>78</v>
      </c>
      <c r="F21" s="1">
        <v>1</v>
      </c>
      <c r="G21" s="1">
        <v>1</v>
      </c>
      <c r="H21" s="1">
        <v>1</v>
      </c>
    </row>
    <row r="22" spans="1:10" s="1" customFormat="1" x14ac:dyDescent="0.2">
      <c r="A22" s="1" t="s">
        <v>21</v>
      </c>
      <c r="B22" s="1" t="s">
        <v>45</v>
      </c>
      <c r="C22" s="1" t="s">
        <v>71</v>
      </c>
      <c r="D22" s="1" t="s">
        <v>78</v>
      </c>
      <c r="F22" s="1">
        <v>1</v>
      </c>
      <c r="G22" s="1">
        <v>1</v>
      </c>
      <c r="H22" s="1">
        <v>1</v>
      </c>
    </row>
    <row r="23" spans="1:10" s="1" customFormat="1" x14ac:dyDescent="0.2">
      <c r="A23" s="1" t="s">
        <v>22</v>
      </c>
      <c r="B23" s="1" t="s">
        <v>39</v>
      </c>
      <c r="C23" s="1" t="s">
        <v>79</v>
      </c>
      <c r="D23" s="1" t="s">
        <v>80</v>
      </c>
      <c r="F23" s="1">
        <v>1</v>
      </c>
      <c r="H23" s="1">
        <v>1</v>
      </c>
    </row>
    <row r="24" spans="1:10" s="1" customFormat="1" x14ac:dyDescent="0.2">
      <c r="A24" s="1" t="s">
        <v>23</v>
      </c>
      <c r="B24" s="1" t="s">
        <v>40</v>
      </c>
      <c r="C24" s="1" t="s">
        <v>83</v>
      </c>
      <c r="D24" s="1" t="s">
        <v>80</v>
      </c>
      <c r="F24" s="1">
        <v>1</v>
      </c>
      <c r="H24" s="1">
        <v>1</v>
      </c>
      <c r="J24" s="1" t="s">
        <v>87</v>
      </c>
    </row>
    <row r="25" spans="1:10" s="1" customFormat="1" x14ac:dyDescent="0.2">
      <c r="A25" s="1" t="s">
        <v>24</v>
      </c>
      <c r="B25" s="1" t="s">
        <v>41</v>
      </c>
      <c r="C25" s="1" t="s">
        <v>84</v>
      </c>
      <c r="D25" s="1" t="s">
        <v>85</v>
      </c>
      <c r="G25" s="1">
        <v>1</v>
      </c>
      <c r="J25" s="1" t="s">
        <v>86</v>
      </c>
    </row>
    <row r="30" spans="1:10" s="1" customFormat="1" x14ac:dyDescent="0.2">
      <c r="A30" s="1" t="s">
        <v>91</v>
      </c>
      <c r="B30" s="1" t="s">
        <v>88</v>
      </c>
      <c r="C30" s="1" t="s">
        <v>81</v>
      </c>
      <c r="D30" s="1" t="s">
        <v>111</v>
      </c>
      <c r="G30" s="1">
        <v>1</v>
      </c>
    </row>
    <row r="31" spans="1:10" s="1" customFormat="1" x14ac:dyDescent="0.2">
      <c r="A31" s="1" t="s">
        <v>92</v>
      </c>
      <c r="B31" s="1" t="s">
        <v>93</v>
      </c>
      <c r="C31" s="1" t="s">
        <v>82</v>
      </c>
      <c r="D31" s="1" t="s">
        <v>111</v>
      </c>
      <c r="G31" s="1">
        <v>1</v>
      </c>
    </row>
    <row r="32" spans="1:10" s="1" customFormat="1" x14ac:dyDescent="0.2">
      <c r="A32" s="1" t="s">
        <v>92</v>
      </c>
      <c r="B32" s="1" t="s">
        <v>94</v>
      </c>
      <c r="C32" s="1" t="s">
        <v>82</v>
      </c>
      <c r="D32" s="1" t="s">
        <v>111</v>
      </c>
      <c r="G32" s="1">
        <v>1</v>
      </c>
    </row>
    <row r="35" spans="2:10" s="1" customFormat="1" x14ac:dyDescent="0.2">
      <c r="B35" s="1" t="s">
        <v>89</v>
      </c>
      <c r="C35" s="1" t="s">
        <v>90</v>
      </c>
      <c r="D35" s="1" t="s">
        <v>98</v>
      </c>
      <c r="F35" s="1">
        <v>1</v>
      </c>
      <c r="J35" s="1" t="s">
        <v>97</v>
      </c>
    </row>
    <row r="39" spans="2:10" s="1" customFormat="1" x14ac:dyDescent="0.2">
      <c r="B39" s="1" t="s">
        <v>95</v>
      </c>
      <c r="C39" s="1" t="s">
        <v>96</v>
      </c>
      <c r="D39" s="1" t="s">
        <v>99</v>
      </c>
    </row>
    <row r="42" spans="2:10" s="1" customFormat="1" x14ac:dyDescent="0.2">
      <c r="B42" s="1" t="s">
        <v>100</v>
      </c>
      <c r="C42" s="1" t="s">
        <v>100</v>
      </c>
      <c r="D42" s="1" t="s">
        <v>112</v>
      </c>
    </row>
    <row r="47" spans="2:10" x14ac:dyDescent="0.2">
      <c r="F47">
        <f>SUM(F2:F46)</f>
        <v>16</v>
      </c>
      <c r="G47">
        <f t="shared" ref="G47:I47" si="0">SUM(G2:G46)</f>
        <v>8</v>
      </c>
      <c r="H47">
        <f t="shared" si="0"/>
        <v>13</v>
      </c>
      <c r="I47">
        <f t="shared" si="0"/>
        <v>1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Oliver</cp:lastModifiedBy>
  <dcterms:created xsi:type="dcterms:W3CDTF">2025-11-17T20:55:53Z</dcterms:created>
  <dcterms:modified xsi:type="dcterms:W3CDTF">2025-11-21T17:57:40Z</dcterms:modified>
</cp:coreProperties>
</file>